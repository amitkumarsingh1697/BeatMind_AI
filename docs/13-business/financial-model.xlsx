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la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Bud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7" customWidth="1" min="4" max="4"/>
    <col width="70" customWidth="1" min="5" max="5"/>
  </cols>
  <sheetData>
    <row r="1">
      <c r="A1" t="inlineStr">
        <is>
          <t>Inputs (yellow cells are editable). Tags: [A] assumption, [H] hypothesis, [E] estimate, [C] calculated, [ES] externally sourced, [SS] source-stated.</t>
        </is>
      </c>
    </row>
    <row r="2">
      <c r="A2" s="1" t="inlineStr">
        <is>
          <t>Input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Tag</t>
        </is>
      </c>
      <c r="E2" s="1" t="inlineStr">
        <is>
          <t>Basis</t>
        </is>
      </c>
    </row>
    <row r="3">
      <c r="A3" t="inlineStr">
        <is>
          <t>USD to INR exchange rate</t>
        </is>
      </c>
      <c r="B3" s="2" t="n">
        <v>88</v>
      </c>
      <c r="C3" t="inlineStr">
        <is>
          <t>INR per USD</t>
        </is>
      </c>
      <c r="D3" t="inlineStr">
        <is>
          <t>[A]</t>
        </is>
      </c>
      <c r="E3" t="inlineStr">
        <is>
          <t>Update monthly from RBI reference rate</t>
        </is>
      </c>
    </row>
    <row r="4">
      <c r="A4" t="inlineStr">
        <is>
          <t>GST on Indian subscriptions</t>
        </is>
      </c>
      <c r="B4" s="2" t="n">
        <v>0.18</v>
      </c>
      <c r="C4" t="inlineStr">
        <is>
          <t>rate</t>
        </is>
      </c>
      <c r="D4" t="inlineStr">
        <is>
          <t>[A]</t>
        </is>
      </c>
      <c r="E4" t="inlineStr">
        <is>
          <t>Suno India prices include 18% GST (SRC-111); confirm with tax adviser (COMP-IN-07)</t>
        </is>
      </c>
    </row>
    <row r="5">
      <c r="A5" t="inlineStr">
        <is>
          <t>Razorpay fee</t>
        </is>
      </c>
      <c r="B5" s="2" t="n">
        <v>0.02</v>
      </c>
      <c r="C5" t="inlineStr">
        <is>
          <t>share of charge</t>
        </is>
      </c>
      <c r="D5" t="inlineStr">
        <is>
          <t>[A]</t>
        </is>
      </c>
      <c r="E5" t="inlineStr">
        <is>
          <t>Confirm with Razorpay pricing (C-04)</t>
        </is>
      </c>
    </row>
    <row r="6">
      <c r="A6" t="inlineStr">
        <is>
          <t>Merchant-of-record fee (percentage)</t>
        </is>
      </c>
      <c r="B6" s="2" t="n">
        <v>0.05</v>
      </c>
      <c r="C6" t="inlineStr">
        <is>
          <t>share of charge</t>
        </is>
      </c>
      <c r="D6" t="inlineStr">
        <is>
          <t>[A]</t>
        </is>
      </c>
      <c r="E6" t="inlineStr">
        <is>
          <t>Confirm with provider (ADR-009)</t>
        </is>
      </c>
    </row>
    <row r="7">
      <c r="A7" t="inlineStr">
        <is>
          <t>Merchant-of-record fee (fixed)</t>
        </is>
      </c>
      <c r="B7" s="2" t="n">
        <v>0.5</v>
      </c>
      <c r="C7" t="inlineStr">
        <is>
          <t>USD per charge</t>
        </is>
      </c>
      <c r="D7" t="inlineStr">
        <is>
          <t>[A]</t>
        </is>
      </c>
      <c r="E7" t="inlineStr">
        <is>
          <t>Confirm with provider</t>
        </is>
      </c>
    </row>
    <row r="8">
      <c r="A8" t="inlineStr">
        <is>
          <t>GPU cost per take, self-hosted</t>
        </is>
      </c>
      <c r="B8" s="2" t="n">
        <v>0.004</v>
      </c>
      <c r="C8" t="inlineStr">
        <is>
          <t>USD</t>
        </is>
      </c>
      <c r="D8" t="inlineStr">
        <is>
          <t>[C]</t>
        </is>
      </c>
      <c r="E8" t="inlineStr">
        <is>
          <t>TDD 9.1: 0.002 to 0.006 at 25% utilisation</t>
        </is>
      </c>
    </row>
    <row r="9">
      <c r="A9" t="inlineStr">
        <is>
          <t>Lyria fallback cost per take</t>
        </is>
      </c>
      <c r="B9" s="2" t="n">
        <v>0.08</v>
      </c>
      <c r="C9" t="inlineStr">
        <is>
          <t>USD</t>
        </is>
      </c>
      <c r="D9" t="inlineStr">
        <is>
          <t>[ES]</t>
        </is>
      </c>
      <c r="E9" t="inlineStr">
        <is>
          <t>SRC-115</t>
        </is>
      </c>
    </row>
    <row r="10">
      <c r="A10" t="inlineStr">
        <is>
          <t>Share of paid takes on fallback</t>
        </is>
      </c>
      <c r="B10" s="2" t="n">
        <v>0</v>
      </c>
      <c r="C10" t="inlineStr">
        <is>
          <t>share</t>
        </is>
      </c>
      <c r="D10" t="inlineStr">
        <is>
          <t>[H]</t>
        </is>
      </c>
      <c r="E10" t="inlineStr">
        <is>
          <t>Recommended 0% in India at launch; raise only if Hindi fails G1</t>
        </is>
      </c>
    </row>
    <row r="11">
      <c r="A11" t="inlineStr">
        <is>
          <t>Storage and delivery per kept song per month</t>
        </is>
      </c>
      <c r="B11" s="2" t="n">
        <v>0.0005</v>
      </c>
      <c r="C11" t="inlineStr">
        <is>
          <t>USD</t>
        </is>
      </c>
      <c r="D11" t="inlineStr">
        <is>
          <t>[E]</t>
        </is>
      </c>
      <c r="E11" t="inlineStr">
        <is>
          <t>R2 free tier first (A-029)</t>
        </is>
      </c>
    </row>
    <row r="12">
      <c r="A12" t="inlineStr">
        <is>
          <t>Free user takes per active month</t>
        </is>
      </c>
      <c r="B12" s="2" t="n">
        <v>20</v>
      </c>
      <c r="C12" t="inlineStr">
        <is>
          <t>takes</t>
        </is>
      </c>
      <c r="D12" t="inlineStr">
        <is>
          <t>[H]</t>
        </is>
      </c>
      <c r="E12" t="inlineStr">
        <is>
          <t>Daily caps limit this</t>
        </is>
      </c>
    </row>
    <row r="13">
      <c r="A13" t="inlineStr">
        <is>
          <t>Paid usage as share of allowance</t>
        </is>
      </c>
      <c r="B13" s="2" t="n">
        <v>0.35</v>
      </c>
      <c r="C13" t="inlineStr">
        <is>
          <t>share</t>
        </is>
      </c>
      <c r="D13" t="inlineStr">
        <is>
          <t>[H]</t>
        </is>
      </c>
      <c r="E13" t="inlineStr">
        <is>
          <t>To measure in beta</t>
        </is>
      </c>
    </row>
    <row r="14">
      <c r="A14" t="inlineStr">
        <is>
          <t>Monthly free-user churn</t>
        </is>
      </c>
      <c r="B14" s="2" t="n">
        <v>0.4</v>
      </c>
      <c r="C14" t="inlineStr">
        <is>
          <t>share</t>
        </is>
      </c>
      <c r="D14" t="inlineStr">
        <is>
          <t>[H]</t>
        </is>
      </c>
      <c r="E14" t="inlineStr"/>
    </row>
    <row r="15">
      <c r="A15" t="inlineStr">
        <is>
          <t>Monthly paid churn</t>
        </is>
      </c>
      <c r="B15" s="2" t="n">
        <v>0.08</v>
      </c>
      <c r="C15" t="inlineStr">
        <is>
          <t>share</t>
        </is>
      </c>
      <c r="D15" t="inlineStr">
        <is>
          <t>[H]</t>
        </is>
      </c>
      <c r="E15" t="inlineStr"/>
    </row>
    <row r="16">
      <c r="A16" t="inlineStr">
        <is>
          <t>Founders' monthly cash budget before funding</t>
        </is>
      </c>
      <c r="B16" s="2" t="n">
        <v>5000</v>
      </c>
      <c r="C16" t="inlineStr">
        <is>
          <t>INR</t>
        </is>
      </c>
      <c r="D16" t="inlineStr">
        <is>
          <t>[SS]</t>
        </is>
      </c>
      <c r="E16" t="inlineStr">
        <is>
          <t>DEC-023: ₹5,000 to ₹10,000; floor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6" customWidth="1" min="3" max="3"/>
    <col width="26" customWidth="1" min="4" max="4"/>
    <col width="60" customWidth="1" min="5" max="5"/>
  </cols>
  <sheetData>
    <row r="1">
      <c r="A1" t="inlineStr">
        <is>
          <t>Base prices (US band) and allowances [H]. Local prices are rounded price points; India shown in INR including GST.</t>
        </is>
      </c>
    </row>
    <row r="2">
      <c r="A2" s="1" t="inlineStr">
        <is>
          <t>Plan</t>
        </is>
      </c>
      <c r="B2" s="1" t="inlineStr">
        <is>
          <t>Base US price (USD/month)</t>
        </is>
      </c>
      <c r="C2" s="1" t="inlineStr">
        <is>
          <t>Takes allowance per month</t>
        </is>
      </c>
      <c r="D2" s="1" t="inlineStr">
        <is>
          <t>Tag</t>
        </is>
      </c>
    </row>
    <row r="3">
      <c r="A3" t="inlineStr">
        <is>
          <t>Creator</t>
        </is>
      </c>
      <c r="B3" s="2" t="n">
        <v>8</v>
      </c>
      <c r="C3" s="2" t="n">
        <v>300</v>
      </c>
      <c r="D3" t="inlineStr">
        <is>
          <t>[H]</t>
        </is>
      </c>
    </row>
    <row r="4">
      <c r="A4" t="inlineStr">
        <is>
          <t>Pro</t>
        </is>
      </c>
      <c r="B4" s="2" t="n">
        <v>18</v>
      </c>
      <c r="C4" s="2" t="n">
        <v>800</v>
      </c>
      <c r="D4" t="inlineStr">
        <is>
          <t>[H]</t>
        </is>
      </c>
    </row>
    <row r="6">
      <c r="A6" s="1" t="inlineStr">
        <is>
          <t>Band</t>
        </is>
      </c>
      <c r="B6" s="1" t="inlineStr">
        <is>
          <t>Factor</t>
        </is>
      </c>
      <c r="C6" s="1" t="inlineStr">
        <is>
          <t>Example countries</t>
        </is>
      </c>
      <c r="D6" s="1" t="inlineStr">
        <is>
          <t>Creator (USD equiv.)</t>
        </is>
      </c>
      <c r="E6" s="1" t="inlineStr">
        <is>
          <t>Pro (USD equiv.)</t>
        </is>
      </c>
    </row>
    <row r="7">
      <c r="A7" t="inlineStr">
        <is>
          <t>B1</t>
        </is>
      </c>
      <c r="B7" s="2" t="n">
        <v>1</v>
      </c>
      <c r="C7" t="inlineStr">
        <is>
          <t>US, UK, EU, Australia, Japan</t>
        </is>
      </c>
      <c r="D7">
        <f>$B$3*B7</f>
        <v/>
      </c>
      <c r="E7">
        <f>$B$4*B7</f>
        <v/>
      </c>
    </row>
    <row r="8">
      <c r="A8" t="inlineStr">
        <is>
          <t>B2</t>
        </is>
      </c>
      <c r="B8" s="2" t="n">
        <v>0.6</v>
      </c>
      <c r="C8" t="inlineStr">
        <is>
          <t>Mexico, South Korea, Gulf</t>
        </is>
      </c>
      <c r="D8">
        <f>$B$3*B8</f>
        <v/>
      </c>
      <c r="E8">
        <f>$B$4*B8</f>
        <v/>
      </c>
    </row>
    <row r="9">
      <c r="A9" t="inlineStr">
        <is>
          <t>B3</t>
        </is>
      </c>
      <c r="B9" s="2" t="n">
        <v>0.35</v>
      </c>
      <c r="C9" t="inlineStr">
        <is>
          <t>Brazil, Indonesia</t>
        </is>
      </c>
      <c r="D9">
        <f>$B$3*B9</f>
        <v/>
      </c>
      <c r="E9">
        <f>$B$4*B9</f>
        <v/>
      </c>
    </row>
    <row r="10">
      <c r="A10" t="inlineStr">
        <is>
          <t>B4</t>
        </is>
      </c>
      <c r="B10" s="2" t="n">
        <v>0.2</v>
      </c>
      <c r="C10" t="inlineStr">
        <is>
          <t>India, Philippines, Nepal, Turkey</t>
        </is>
      </c>
      <c r="D10">
        <f>$B$3*B10</f>
        <v/>
      </c>
      <c r="E10">
        <f>$B$4*B10</f>
        <v/>
      </c>
    </row>
    <row r="11">
      <c r="A11" t="inlineStr">
        <is>
          <t>B5</t>
        </is>
      </c>
      <c r="B11" s="2" t="n">
        <v>0.12</v>
      </c>
      <c r="C11" t="inlineStr">
        <is>
          <t>Pakistan, Bangladesh, Egypt, Nigeria</t>
        </is>
      </c>
      <c r="D11">
        <f>$B$3*B11</f>
        <v/>
      </c>
      <c r="E11">
        <f>$B$4*B11</f>
        <v/>
      </c>
    </row>
    <row r="13">
      <c r="A13" s="1" t="inlineStr">
        <is>
          <t>India price points (INR incl. GST)</t>
        </is>
      </c>
      <c r="B13" s="1" t="inlineStr">
        <is>
          <t>Creator</t>
        </is>
      </c>
      <c r="C13" s="1" t="inlineStr">
        <is>
          <t>Pro</t>
        </is>
      </c>
      <c r="D13" s="1" t="inlineStr">
        <is>
          <t>Basis</t>
        </is>
      </c>
    </row>
    <row r="14">
      <c r="A14" t="inlineStr">
        <is>
          <t>Formula price (band B4 x base x FX)</t>
        </is>
      </c>
      <c r="B14">
        <f>D10*Inputs!$B$3</f>
        <v/>
      </c>
      <c r="C14">
        <f>E10*Inputs!$B$3</f>
        <v/>
      </c>
      <c r="D14" t="inlineStr">
        <is>
          <t>[C]</t>
        </is>
      </c>
    </row>
    <row r="15">
      <c r="A15" t="inlineStr">
        <is>
          <t>Chosen price point</t>
        </is>
      </c>
      <c r="B15" s="2" t="n">
        <v>149</v>
      </c>
      <c r="C15" s="2" t="n">
        <v>349</v>
      </c>
      <c r="D15" t="inlineStr">
        <is>
          <t>[H] Rounded; Spotify India ₹199 (SRC-116); Suno Pro India ₹999 (SRC-111)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Contribution per paying user per month (USD). India uses Razorpay and GST-inclusive prices; band B1 uses a merchant of record with tax added on top.</t>
        </is>
      </c>
    </row>
    <row r="2">
      <c r="A2" s="1" t="inlineStr">
        <is>
          <t>Line</t>
        </is>
      </c>
      <c r="B2" s="1" t="inlineStr">
        <is>
          <t>India Creator</t>
        </is>
      </c>
      <c r="C2" s="1" t="inlineStr">
        <is>
          <t>India Pro</t>
        </is>
      </c>
      <c r="D2" s="1" t="inlineStr">
        <is>
          <t>B1 Creator</t>
        </is>
      </c>
      <c r="E2" s="1" t="inlineStr">
        <is>
          <t>B1 Pro</t>
        </is>
      </c>
    </row>
    <row r="3">
      <c r="A3" t="inlineStr">
        <is>
          <t>List price (local)</t>
        </is>
      </c>
      <c r="B3">
        <f>Plans!B15</f>
        <v/>
      </c>
      <c r="C3">
        <f>Plans!C15</f>
        <v/>
      </c>
      <c r="D3">
        <f>Plans!D7</f>
        <v/>
      </c>
      <c r="E3">
        <f>Plans!E7</f>
        <v/>
      </c>
    </row>
    <row r="4">
      <c r="A4" t="inlineStr">
        <is>
          <t>Net of GST (USD)</t>
        </is>
      </c>
      <c r="B4">
        <f>B3/(1+Inputs!$B$4)/Inputs!$B$3</f>
        <v/>
      </c>
      <c r="C4">
        <f>C3/(1+Inputs!$B$4)/Inputs!$B$3</f>
        <v/>
      </c>
      <c r="D4">
        <f>D3</f>
        <v/>
      </c>
      <c r="E4">
        <f>E3</f>
        <v/>
      </c>
    </row>
    <row r="5">
      <c r="A5" t="inlineStr">
        <is>
          <t>Payment fees (USD)</t>
        </is>
      </c>
      <c r="B5">
        <f>B4*Inputs!$B$5</f>
        <v/>
      </c>
      <c r="C5">
        <f>C4*Inputs!$B$5</f>
        <v/>
      </c>
      <c r="D5">
        <f>D4*Inputs!$B$6+Inputs!$B$7</f>
        <v/>
      </c>
      <c r="E5">
        <f>E4*Inputs!$B$6+Inputs!$B$7</f>
        <v/>
      </c>
    </row>
    <row r="6">
      <c r="A6" t="inlineStr">
        <is>
          <t>Net revenue (USD)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</row>
    <row r="7">
      <c r="A7" t="inlineStr">
        <is>
          <t>Takes used</t>
        </is>
      </c>
      <c r="B7">
        <f>Plans!$C$3*Inputs!$B$13</f>
        <v/>
      </c>
      <c r="C7">
        <f>Plans!$C$4*Inputs!$B$13</f>
        <v/>
      </c>
      <c r="D7">
        <f>Plans!$C$3*Inputs!$B$13</f>
        <v/>
      </c>
      <c r="E7">
        <f>Plans!$C$4*Inputs!$B$13</f>
        <v/>
      </c>
    </row>
    <row r="8">
      <c r="A8" t="inlineStr">
        <is>
          <t>Cost per take (USD)</t>
        </is>
      </c>
      <c r="B8">
        <f>(1-Inputs!$B$10)*Inputs!$B$8+Inputs!$B$10*Inputs!$B$9</f>
        <v/>
      </c>
      <c r="C8">
        <f>B8</f>
        <v/>
      </c>
      <c r="D8">
        <f>B8</f>
        <v/>
      </c>
      <c r="E8">
        <f>B8</f>
        <v/>
      </c>
    </row>
    <row r="9">
      <c r="A9" t="inlineStr">
        <is>
          <t>Compute cost (USD)</t>
        </is>
      </c>
      <c r="B9">
        <f>B7*B8</f>
        <v/>
      </c>
      <c r="C9">
        <f>C7*C8</f>
        <v/>
      </c>
      <c r="D9">
        <f>D7*D8</f>
        <v/>
      </c>
      <c r="E9">
        <f>E7*E8</f>
        <v/>
      </c>
    </row>
    <row r="10">
      <c r="A10" t="inlineStr">
        <is>
          <t>Storage and delivery (USD)</t>
        </is>
      </c>
      <c r="B10">
        <f>B7*0.2*Inputs!$B$11*12</f>
        <v/>
      </c>
      <c r="C10">
        <f>C7*0.2*Inputs!$B$11*12</f>
        <v/>
      </c>
      <c r="D10">
        <f>D7*0.2*Inputs!$B$11*12</f>
        <v/>
      </c>
      <c r="E10">
        <f>E7*0.2*Inputs!$B$11*12</f>
        <v/>
      </c>
    </row>
    <row r="11">
      <c r="A11" t="inlineStr">
        <is>
          <t>Contribution (USD)</t>
        </is>
      </c>
      <c r="B11">
        <f>B6-B9-B10</f>
        <v/>
      </c>
      <c r="C11">
        <f>C6-C9-C10</f>
        <v/>
      </c>
      <c r="D11">
        <f>D6-D9-D10</f>
        <v/>
      </c>
      <c r="E11">
        <f>E6-E9-E10</f>
        <v/>
      </c>
    </row>
    <row r="12">
      <c r="A12" t="inlineStr">
        <is>
          <t>Contribution margin</t>
        </is>
      </c>
      <c r="B12">
        <f>B11/B6</f>
        <v/>
      </c>
      <c r="C12">
        <f>C11/C6</f>
        <v/>
      </c>
      <c r="D12">
        <f>D11/D6</f>
        <v/>
      </c>
      <c r="E12">
        <f>E11/E6</f>
        <v/>
      </c>
    </row>
    <row r="13">
      <c r="A13" t="inlineStr">
        <is>
          <t>Break-even fallback share</t>
        </is>
      </c>
      <c r="B13">
        <f>(B6-B10-B7*Inputs!$B$8)/(B7*(Inputs!$B$9-Inputs!$B$8))</f>
        <v/>
      </c>
      <c r="C13">
        <f>(C6-C10-C7*Inputs!$B$8)/(C7*(Inputs!$B$9-Inputs!$B$8))</f>
        <v/>
      </c>
      <c r="D13">
        <f>(D6-D10-D7*Inputs!$B$8)/(D7*(Inputs!$B$9-Inputs!$B$8))</f>
        <v/>
      </c>
      <c r="E13">
        <f>(E6-E10-E7*Inputs!$B$8)/(E7*(Inputs!$B$9-Inputs!$B$8))</f>
        <v/>
      </c>
    </row>
    <row r="14">
      <c r="A14" t="inlineStr">
        <is>
          <t>Free user cost per active month (USD)</t>
        </is>
      </c>
      <c r="B14">
        <f>Inputs!$B$12*Inputs!$B$8</f>
        <v/>
      </c>
      <c r="C14" t="inlineStr"/>
      <c r="D14" t="inlineStr"/>
      <c r="E14" t="inlineStr"/>
    </row>
    <row r="15">
      <c r="A15" t="inlineStr">
        <is>
          <t>Storage line assumes 20% of takes are kept and stored for 12 months [H].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12-month scenarios from beta start. These are hypotheses for planning, not forecasts or traction. Edit row 4 to 7.</t>
        </is>
      </c>
    </row>
    <row r="3">
      <c r="A3" s="1" t="inlineStr">
        <is>
          <t>Scenario input</t>
        </is>
      </c>
      <c r="B3" s="1" t="inlineStr">
        <is>
          <t>Low</t>
        </is>
      </c>
      <c r="C3" s="1" t="inlineStr">
        <is>
          <t>Base</t>
        </is>
      </c>
      <c r="D3" s="1" t="inlineStr">
        <is>
          <t>High</t>
        </is>
      </c>
      <c r="E3" s="1" t="inlineStr">
        <is>
          <t>Tag</t>
        </is>
      </c>
    </row>
    <row r="4">
      <c r="A4" t="inlineStr">
        <is>
          <t>New free sign-ups in month 1</t>
        </is>
      </c>
      <c r="B4" s="2" t="n">
        <v>500</v>
      </c>
      <c r="C4" s="2" t="n">
        <v>2000</v>
      </c>
      <c r="D4" s="2" t="n">
        <v>6000</v>
      </c>
      <c r="E4" t="inlineStr">
        <is>
          <t>[H]</t>
        </is>
      </c>
    </row>
    <row r="5">
      <c r="A5" t="inlineStr">
        <is>
          <t>Monthly growth in new sign-ups</t>
        </is>
      </c>
      <c r="B5" s="2" t="n">
        <v>0.05</v>
      </c>
      <c r="C5" s="2" t="n">
        <v>0.15</v>
      </c>
      <c r="D5" s="2" t="n">
        <v>0.25</v>
      </c>
      <c r="E5" t="inlineStr">
        <is>
          <t>[H]</t>
        </is>
      </c>
    </row>
    <row r="6">
      <c r="A6" t="inlineStr">
        <is>
          <t>Free-to-paid conversion per month of active free users</t>
        </is>
      </c>
      <c r="B6" s="2" t="n">
        <v>0.01</v>
      </c>
      <c r="C6" s="2" t="n">
        <v>0.025</v>
      </c>
      <c r="D6" s="2" t="n">
        <v>0.05</v>
      </c>
      <c r="E6" t="inlineStr">
        <is>
          <t>[H]</t>
        </is>
      </c>
    </row>
    <row r="7">
      <c r="A7" t="inlineStr">
        <is>
          <t>Share of paid users on Pro (rest Creator)</t>
        </is>
      </c>
      <c r="B7" s="2" t="n">
        <v>0.2</v>
      </c>
      <c r="C7" s="2" t="n">
        <v>0.3</v>
      </c>
      <c r="D7" s="2" t="n">
        <v>0.4</v>
      </c>
      <c r="E7" t="inlineStr">
        <is>
          <t>[H]</t>
        </is>
      </c>
    </row>
    <row r="10">
      <c r="A10" s="3" t="inlineStr">
        <is>
          <t>Low scenario (India price points)</t>
        </is>
      </c>
    </row>
    <row r="11">
      <c r="A11" s="1" t="inlineStr">
        <is>
          <t>Metric</t>
        </is>
      </c>
      <c r="B11" s="1" t="inlineStr">
        <is>
          <t>M1</t>
        </is>
      </c>
      <c r="C11" s="1" t="inlineStr">
        <is>
          <t>M2</t>
        </is>
      </c>
      <c r="D11" s="1" t="inlineStr">
        <is>
          <t>M3</t>
        </is>
      </c>
      <c r="E11" s="1" t="inlineStr">
        <is>
          <t>M4</t>
        </is>
      </c>
      <c r="F11" s="1" t="inlineStr">
        <is>
          <t>M5</t>
        </is>
      </c>
      <c r="G11" s="1" t="inlineStr">
        <is>
          <t>M6</t>
        </is>
      </c>
      <c r="H11" s="1" t="inlineStr">
        <is>
          <t>M7</t>
        </is>
      </c>
      <c r="I11" s="1" t="inlineStr">
        <is>
          <t>M8</t>
        </is>
      </c>
      <c r="J11" s="1" t="inlineStr">
        <is>
          <t>M9</t>
        </is>
      </c>
      <c r="K11" s="1" t="inlineStr">
        <is>
          <t>M10</t>
        </is>
      </c>
      <c r="L11" s="1" t="inlineStr">
        <is>
          <t>M11</t>
        </is>
      </c>
      <c r="M11" s="1" t="inlineStr">
        <is>
          <t>M12</t>
        </is>
      </c>
    </row>
    <row r="12">
      <c r="A12" t="inlineStr">
        <is>
          <t>New free sign-ups</t>
        </is>
      </c>
      <c r="B12">
        <f>$B$4*(1+$B$5)^0</f>
        <v/>
      </c>
      <c r="C12">
        <f>$B$4*(1+$B$5)^1</f>
        <v/>
      </c>
      <c r="D12">
        <f>$B$4*(1+$B$5)^2</f>
        <v/>
      </c>
      <c r="E12">
        <f>$B$4*(1+$B$5)^3</f>
        <v/>
      </c>
      <c r="F12">
        <f>$B$4*(1+$B$5)^4</f>
        <v/>
      </c>
      <c r="G12">
        <f>$B$4*(1+$B$5)^5</f>
        <v/>
      </c>
      <c r="H12">
        <f>$B$4*(1+$B$5)^6</f>
        <v/>
      </c>
      <c r="I12">
        <f>$B$4*(1+$B$5)^7</f>
        <v/>
      </c>
      <c r="J12">
        <f>$B$4*(1+$B$5)^8</f>
        <v/>
      </c>
      <c r="K12">
        <f>$B$4*(1+$B$5)^9</f>
        <v/>
      </c>
      <c r="L12">
        <f>$B$4*(1+$B$5)^10</f>
        <v/>
      </c>
      <c r="M12">
        <f>$B$4*(1+$B$5)^11</f>
        <v/>
      </c>
    </row>
    <row r="13">
      <c r="A13" t="inlineStr">
        <is>
          <t>Active free users</t>
        </is>
      </c>
      <c r="B13">
        <f>B12</f>
        <v/>
      </c>
      <c r="C13">
        <f>B13*(1-Inputs!$B$14)+C12</f>
        <v/>
      </c>
      <c r="D13">
        <f>C13*(1-Inputs!$B$14)+D12</f>
        <v/>
      </c>
      <c r="E13">
        <f>D13*(1-Inputs!$B$14)+E12</f>
        <v/>
      </c>
      <c r="F13">
        <f>E13*(1-Inputs!$B$14)+F12</f>
        <v/>
      </c>
      <c r="G13">
        <f>F13*(1-Inputs!$B$14)+G12</f>
        <v/>
      </c>
      <c r="H13">
        <f>G13*(1-Inputs!$B$14)+H12</f>
        <v/>
      </c>
      <c r="I13">
        <f>H13*(1-Inputs!$B$14)+I12</f>
        <v/>
      </c>
      <c r="J13">
        <f>I13*(1-Inputs!$B$14)+J12</f>
        <v/>
      </c>
      <c r="K13">
        <f>J13*(1-Inputs!$B$14)+K12</f>
        <v/>
      </c>
      <c r="L13">
        <f>K13*(1-Inputs!$B$14)+L12</f>
        <v/>
      </c>
      <c r="M13">
        <f>L13*(1-Inputs!$B$14)+M12</f>
        <v/>
      </c>
    </row>
    <row r="14">
      <c r="A14" t="inlineStr">
        <is>
          <t>New paid users</t>
        </is>
      </c>
      <c r="B14">
        <f>B13*$B$6</f>
        <v/>
      </c>
      <c r="C14">
        <f>C13*$B$6</f>
        <v/>
      </c>
      <c r="D14">
        <f>D13*$B$6</f>
        <v/>
      </c>
      <c r="E14">
        <f>E13*$B$6</f>
        <v/>
      </c>
      <c r="F14">
        <f>F13*$B$6</f>
        <v/>
      </c>
      <c r="G14">
        <f>G13*$B$6</f>
        <v/>
      </c>
      <c r="H14">
        <f>H13*$B$6</f>
        <v/>
      </c>
      <c r="I14">
        <f>I13*$B$6</f>
        <v/>
      </c>
      <c r="J14">
        <f>J13*$B$6</f>
        <v/>
      </c>
      <c r="K14">
        <f>K13*$B$6</f>
        <v/>
      </c>
      <c r="L14">
        <f>L13*$B$6</f>
        <v/>
      </c>
      <c r="M14">
        <f>M13*$B$6</f>
        <v/>
      </c>
    </row>
    <row r="15">
      <c r="A15" t="inlineStr">
        <is>
          <t>Active paid users</t>
        </is>
      </c>
      <c r="B15">
        <f>B14</f>
        <v/>
      </c>
      <c r="C15">
        <f>B15*(1-Inputs!$B$15)+C14</f>
        <v/>
      </c>
      <c r="D15">
        <f>C15*(1-Inputs!$B$15)+D14</f>
        <v/>
      </c>
      <c r="E15">
        <f>D15*(1-Inputs!$B$15)+E14</f>
        <v/>
      </c>
      <c r="F15">
        <f>E15*(1-Inputs!$B$15)+F14</f>
        <v/>
      </c>
      <c r="G15">
        <f>F15*(1-Inputs!$B$15)+G14</f>
        <v/>
      </c>
      <c r="H15">
        <f>G15*(1-Inputs!$B$15)+H14</f>
        <v/>
      </c>
      <c r="I15">
        <f>H15*(1-Inputs!$B$15)+I14</f>
        <v/>
      </c>
      <c r="J15">
        <f>I15*(1-Inputs!$B$15)+J14</f>
        <v/>
      </c>
      <c r="K15">
        <f>J15*(1-Inputs!$B$15)+K14</f>
        <v/>
      </c>
      <c r="L15">
        <f>K15*(1-Inputs!$B$15)+L14</f>
        <v/>
      </c>
      <c r="M15">
        <f>L15*(1-Inputs!$B$15)+M14</f>
        <v/>
      </c>
    </row>
    <row r="16">
      <c r="A16" t="inlineStr">
        <is>
          <t>Net revenue (USD)</t>
        </is>
      </c>
      <c r="B16">
        <f>B15*((1-$B$7)*'Unit economics'!$B$6+$B$7*'Unit economics'!$C$6)</f>
        <v/>
      </c>
      <c r="C16">
        <f>C15*((1-$B$7)*'Unit economics'!$B$6+$B$7*'Unit economics'!$C$6)</f>
        <v/>
      </c>
      <c r="D16">
        <f>D15*((1-$B$7)*'Unit economics'!$B$6+$B$7*'Unit economics'!$C$6)</f>
        <v/>
      </c>
      <c r="E16">
        <f>E15*((1-$B$7)*'Unit economics'!$B$6+$B$7*'Unit economics'!$C$6)</f>
        <v/>
      </c>
      <c r="F16">
        <f>F15*((1-$B$7)*'Unit economics'!$B$6+$B$7*'Unit economics'!$C$6)</f>
        <v/>
      </c>
      <c r="G16">
        <f>G15*((1-$B$7)*'Unit economics'!$B$6+$B$7*'Unit economics'!$C$6)</f>
        <v/>
      </c>
      <c r="H16">
        <f>H15*((1-$B$7)*'Unit economics'!$B$6+$B$7*'Unit economics'!$C$6)</f>
        <v/>
      </c>
      <c r="I16">
        <f>I15*((1-$B$7)*'Unit economics'!$B$6+$B$7*'Unit economics'!$C$6)</f>
        <v/>
      </c>
      <c r="J16">
        <f>J15*((1-$B$7)*'Unit economics'!$B$6+$B$7*'Unit economics'!$C$6)</f>
        <v/>
      </c>
      <c r="K16">
        <f>K15*((1-$B$7)*'Unit economics'!$B$6+$B$7*'Unit economics'!$C$6)</f>
        <v/>
      </c>
      <c r="L16">
        <f>L15*((1-$B$7)*'Unit economics'!$B$6+$B$7*'Unit economics'!$C$6)</f>
        <v/>
      </c>
      <c r="M16">
        <f>M15*((1-$B$7)*'Unit economics'!$B$6+$B$7*'Unit economics'!$C$6)</f>
        <v/>
      </c>
    </row>
    <row r="17">
      <c r="A17" t="inlineStr">
        <is>
          <t>Paid compute and storage (USD)</t>
        </is>
      </c>
      <c r="B17">
        <f>B15*((1-$B$7)*('Unit economics'!$B$9+'Unit economics'!$B$10)+$B$7*('Unit economics'!$C$9+'Unit economics'!$C$10))</f>
        <v/>
      </c>
      <c r="C17">
        <f>C15*((1-$B$7)*('Unit economics'!$B$9+'Unit economics'!$B$10)+$B$7*('Unit economics'!$C$9+'Unit economics'!$C$10))</f>
        <v/>
      </c>
      <c r="D17">
        <f>D15*((1-$B$7)*('Unit economics'!$B$9+'Unit economics'!$B$10)+$B$7*('Unit economics'!$C$9+'Unit economics'!$C$10))</f>
        <v/>
      </c>
      <c r="E17">
        <f>E15*((1-$B$7)*('Unit economics'!$B$9+'Unit economics'!$B$10)+$B$7*('Unit economics'!$C$9+'Unit economics'!$C$10))</f>
        <v/>
      </c>
      <c r="F17">
        <f>F15*((1-$B$7)*('Unit economics'!$B$9+'Unit economics'!$B$10)+$B$7*('Unit economics'!$C$9+'Unit economics'!$C$10))</f>
        <v/>
      </c>
      <c r="G17">
        <f>G15*((1-$B$7)*('Unit economics'!$B$9+'Unit economics'!$B$10)+$B$7*('Unit economics'!$C$9+'Unit economics'!$C$10))</f>
        <v/>
      </c>
      <c r="H17">
        <f>H15*((1-$B$7)*('Unit economics'!$B$9+'Unit economics'!$B$10)+$B$7*('Unit economics'!$C$9+'Unit economics'!$C$10))</f>
        <v/>
      </c>
      <c r="I17">
        <f>I15*((1-$B$7)*('Unit economics'!$B$9+'Unit economics'!$B$10)+$B$7*('Unit economics'!$C$9+'Unit economics'!$C$10))</f>
        <v/>
      </c>
      <c r="J17">
        <f>J15*((1-$B$7)*('Unit economics'!$B$9+'Unit economics'!$B$10)+$B$7*('Unit economics'!$C$9+'Unit economics'!$C$10))</f>
        <v/>
      </c>
      <c r="K17">
        <f>K15*((1-$B$7)*('Unit economics'!$B$9+'Unit economics'!$B$10)+$B$7*('Unit economics'!$C$9+'Unit economics'!$C$10))</f>
        <v/>
      </c>
      <c r="L17">
        <f>L15*((1-$B$7)*('Unit economics'!$B$9+'Unit economics'!$B$10)+$B$7*('Unit economics'!$C$9+'Unit economics'!$C$10))</f>
        <v/>
      </c>
      <c r="M17">
        <f>M15*((1-$B$7)*('Unit economics'!$B$9+'Unit economics'!$B$10)+$B$7*('Unit economics'!$C$9+'Unit economics'!$C$10))</f>
        <v/>
      </c>
    </row>
    <row r="18">
      <c r="A18" t="inlineStr">
        <is>
          <t>Free-tier compute (USD)</t>
        </is>
      </c>
      <c r="B18">
        <f>B13*'Unit economics'!$B$14</f>
        <v/>
      </c>
      <c r="C18">
        <f>C13*'Unit economics'!$B$14</f>
        <v/>
      </c>
      <c r="D18">
        <f>D13*'Unit economics'!$B$14</f>
        <v/>
      </c>
      <c r="E18">
        <f>E13*'Unit economics'!$B$14</f>
        <v/>
      </c>
      <c r="F18">
        <f>F13*'Unit economics'!$B$14</f>
        <v/>
      </c>
      <c r="G18">
        <f>G13*'Unit economics'!$B$14</f>
        <v/>
      </c>
      <c r="H18">
        <f>H13*'Unit economics'!$B$14</f>
        <v/>
      </c>
      <c r="I18">
        <f>I13*'Unit economics'!$B$14</f>
        <v/>
      </c>
      <c r="J18">
        <f>J13*'Unit economics'!$B$14</f>
        <v/>
      </c>
      <c r="K18">
        <f>K13*'Unit economics'!$B$14</f>
        <v/>
      </c>
      <c r="L18">
        <f>L13*'Unit economics'!$B$14</f>
        <v/>
      </c>
      <c r="M18">
        <f>M13*'Unit economics'!$B$14</f>
        <v/>
      </c>
    </row>
    <row r="19">
      <c r="A19" t="inlineStr">
        <is>
          <t>Contribution after free-tier cost (USD)</t>
        </is>
      </c>
      <c r="B19">
        <f>B16-B17-B18</f>
        <v/>
      </c>
      <c r="C19">
        <f>C16-C17-C18</f>
        <v/>
      </c>
      <c r="D19">
        <f>D16-D17-D18</f>
        <v/>
      </c>
      <c r="E19">
        <f>E16-E17-E18</f>
        <v/>
      </c>
      <c r="F19">
        <f>F16-F17-F18</f>
        <v/>
      </c>
      <c r="G19">
        <f>G16-G17-G18</f>
        <v/>
      </c>
      <c r="H19">
        <f>H16-H17-H18</f>
        <v/>
      </c>
      <c r="I19">
        <f>I16-I17-I18</f>
        <v/>
      </c>
      <c r="J19">
        <f>J16-J17-J18</f>
        <v/>
      </c>
      <c r="K19">
        <f>K16-K17-K18</f>
        <v/>
      </c>
      <c r="L19">
        <f>L16-L17-L18</f>
        <v/>
      </c>
      <c r="M19">
        <f>M16-M17-M18</f>
        <v/>
      </c>
    </row>
    <row r="20">
      <c r="A20" t="inlineStr">
        <is>
          <t>Cumulative contribution (USD)</t>
        </is>
      </c>
      <c r="B20">
        <f>B19</f>
        <v/>
      </c>
      <c r="C20">
        <f>B20+C19</f>
        <v/>
      </c>
      <c r="D20">
        <f>C20+D19</f>
        <v/>
      </c>
      <c r="E20">
        <f>D20+E19</f>
        <v/>
      </c>
      <c r="F20">
        <f>E20+F19</f>
        <v/>
      </c>
      <c r="G20">
        <f>F20+G19</f>
        <v/>
      </c>
      <c r="H20">
        <f>G20+H19</f>
        <v/>
      </c>
      <c r="I20">
        <f>H20+I19</f>
        <v/>
      </c>
      <c r="J20">
        <f>I20+J19</f>
        <v/>
      </c>
      <c r="K20">
        <f>J20+K19</f>
        <v/>
      </c>
      <c r="L20">
        <f>K20+L19</f>
        <v/>
      </c>
      <c r="M20">
        <f>L20+M19</f>
        <v/>
      </c>
    </row>
    <row r="27">
      <c r="A27" s="3" t="inlineStr">
        <is>
          <t>Base scenario (India price points)</t>
        </is>
      </c>
    </row>
    <row r="28">
      <c r="A28" s="1" t="inlineStr">
        <is>
          <t>Metric</t>
        </is>
      </c>
      <c r="B28" s="1" t="inlineStr">
        <is>
          <t>M1</t>
        </is>
      </c>
      <c r="C28" s="1" t="inlineStr">
        <is>
          <t>M2</t>
        </is>
      </c>
      <c r="D28" s="1" t="inlineStr">
        <is>
          <t>M3</t>
        </is>
      </c>
      <c r="E28" s="1" t="inlineStr">
        <is>
          <t>M4</t>
        </is>
      </c>
      <c r="F28" s="1" t="inlineStr">
        <is>
          <t>M5</t>
        </is>
      </c>
      <c r="G28" s="1" t="inlineStr">
        <is>
          <t>M6</t>
        </is>
      </c>
      <c r="H28" s="1" t="inlineStr">
        <is>
          <t>M7</t>
        </is>
      </c>
      <c r="I28" s="1" t="inlineStr">
        <is>
          <t>M8</t>
        </is>
      </c>
      <c r="J28" s="1" t="inlineStr">
        <is>
          <t>M9</t>
        </is>
      </c>
      <c r="K28" s="1" t="inlineStr">
        <is>
          <t>M10</t>
        </is>
      </c>
      <c r="L28" s="1" t="inlineStr">
        <is>
          <t>M11</t>
        </is>
      </c>
      <c r="M28" s="1" t="inlineStr">
        <is>
          <t>M12</t>
        </is>
      </c>
    </row>
    <row r="29">
      <c r="A29" t="inlineStr">
        <is>
          <t>New free sign-ups</t>
        </is>
      </c>
      <c r="B29">
        <f>$C$4*(1+$C$5)^0</f>
        <v/>
      </c>
      <c r="C29">
        <f>$C$4*(1+$C$5)^1</f>
        <v/>
      </c>
      <c r="D29">
        <f>$C$4*(1+$C$5)^2</f>
        <v/>
      </c>
      <c r="E29">
        <f>$C$4*(1+$C$5)^3</f>
        <v/>
      </c>
      <c r="F29">
        <f>$C$4*(1+$C$5)^4</f>
        <v/>
      </c>
      <c r="G29">
        <f>$C$4*(1+$C$5)^5</f>
        <v/>
      </c>
      <c r="H29">
        <f>$C$4*(1+$C$5)^6</f>
        <v/>
      </c>
      <c r="I29">
        <f>$C$4*(1+$C$5)^7</f>
        <v/>
      </c>
      <c r="J29">
        <f>$C$4*(1+$C$5)^8</f>
        <v/>
      </c>
      <c r="K29">
        <f>$C$4*(1+$C$5)^9</f>
        <v/>
      </c>
      <c r="L29">
        <f>$C$4*(1+$C$5)^10</f>
        <v/>
      </c>
      <c r="M29">
        <f>$C$4*(1+$C$5)^11</f>
        <v/>
      </c>
    </row>
    <row r="30">
      <c r="A30" t="inlineStr">
        <is>
          <t>Active free users</t>
        </is>
      </c>
      <c r="B30">
        <f>B29</f>
        <v/>
      </c>
      <c r="C30">
        <f>B30*(1-Inputs!$B$14)+C29</f>
        <v/>
      </c>
      <c r="D30">
        <f>C30*(1-Inputs!$B$14)+D29</f>
        <v/>
      </c>
      <c r="E30">
        <f>D30*(1-Inputs!$B$14)+E29</f>
        <v/>
      </c>
      <c r="F30">
        <f>E30*(1-Inputs!$B$14)+F29</f>
        <v/>
      </c>
      <c r="G30">
        <f>F30*(1-Inputs!$B$14)+G29</f>
        <v/>
      </c>
      <c r="H30">
        <f>G30*(1-Inputs!$B$14)+H29</f>
        <v/>
      </c>
      <c r="I30">
        <f>H30*(1-Inputs!$B$14)+I29</f>
        <v/>
      </c>
      <c r="J30">
        <f>I30*(1-Inputs!$B$14)+J29</f>
        <v/>
      </c>
      <c r="K30">
        <f>J30*(1-Inputs!$B$14)+K29</f>
        <v/>
      </c>
      <c r="L30">
        <f>K30*(1-Inputs!$B$14)+L29</f>
        <v/>
      </c>
      <c r="M30">
        <f>L30*(1-Inputs!$B$14)+M29</f>
        <v/>
      </c>
    </row>
    <row r="31">
      <c r="A31" t="inlineStr">
        <is>
          <t>New paid users</t>
        </is>
      </c>
      <c r="B31">
        <f>B30*$C$6</f>
        <v/>
      </c>
      <c r="C31">
        <f>C30*$C$6</f>
        <v/>
      </c>
      <c r="D31">
        <f>D30*$C$6</f>
        <v/>
      </c>
      <c r="E31">
        <f>E30*$C$6</f>
        <v/>
      </c>
      <c r="F31">
        <f>F30*$C$6</f>
        <v/>
      </c>
      <c r="G31">
        <f>G30*$C$6</f>
        <v/>
      </c>
      <c r="H31">
        <f>H30*$C$6</f>
        <v/>
      </c>
      <c r="I31">
        <f>I30*$C$6</f>
        <v/>
      </c>
      <c r="J31">
        <f>J30*$C$6</f>
        <v/>
      </c>
      <c r="K31">
        <f>K30*$C$6</f>
        <v/>
      </c>
      <c r="L31">
        <f>L30*$C$6</f>
        <v/>
      </c>
      <c r="M31">
        <f>M30*$C$6</f>
        <v/>
      </c>
    </row>
    <row r="32">
      <c r="A32" t="inlineStr">
        <is>
          <t>Active paid users</t>
        </is>
      </c>
      <c r="B32">
        <f>B31</f>
        <v/>
      </c>
      <c r="C32">
        <f>B32*(1-Inputs!$B$15)+C31</f>
        <v/>
      </c>
      <c r="D32">
        <f>C32*(1-Inputs!$B$15)+D31</f>
        <v/>
      </c>
      <c r="E32">
        <f>D32*(1-Inputs!$B$15)+E31</f>
        <v/>
      </c>
      <c r="F32">
        <f>E32*(1-Inputs!$B$15)+F31</f>
        <v/>
      </c>
      <c r="G32">
        <f>F32*(1-Inputs!$B$15)+G31</f>
        <v/>
      </c>
      <c r="H32">
        <f>G32*(1-Inputs!$B$15)+H31</f>
        <v/>
      </c>
      <c r="I32">
        <f>H32*(1-Inputs!$B$15)+I31</f>
        <v/>
      </c>
      <c r="J32">
        <f>I32*(1-Inputs!$B$15)+J31</f>
        <v/>
      </c>
      <c r="K32">
        <f>J32*(1-Inputs!$B$15)+K31</f>
        <v/>
      </c>
      <c r="L32">
        <f>K32*(1-Inputs!$B$15)+L31</f>
        <v/>
      </c>
      <c r="M32">
        <f>L32*(1-Inputs!$B$15)+M31</f>
        <v/>
      </c>
    </row>
    <row r="33">
      <c r="A33" t="inlineStr">
        <is>
          <t>Net revenue (USD)</t>
        </is>
      </c>
      <c r="B33">
        <f>B32*((1-$C$7)*'Unit economics'!$B$6+$C$7*'Unit economics'!$C$6)</f>
        <v/>
      </c>
      <c r="C33">
        <f>C32*((1-$C$7)*'Unit economics'!$B$6+$C$7*'Unit economics'!$C$6)</f>
        <v/>
      </c>
      <c r="D33">
        <f>D32*((1-$C$7)*'Unit economics'!$B$6+$C$7*'Unit economics'!$C$6)</f>
        <v/>
      </c>
      <c r="E33">
        <f>E32*((1-$C$7)*'Unit economics'!$B$6+$C$7*'Unit economics'!$C$6)</f>
        <v/>
      </c>
      <c r="F33">
        <f>F32*((1-$C$7)*'Unit economics'!$B$6+$C$7*'Unit economics'!$C$6)</f>
        <v/>
      </c>
      <c r="G33">
        <f>G32*((1-$C$7)*'Unit economics'!$B$6+$C$7*'Unit economics'!$C$6)</f>
        <v/>
      </c>
      <c r="H33">
        <f>H32*((1-$C$7)*'Unit economics'!$B$6+$C$7*'Unit economics'!$C$6)</f>
        <v/>
      </c>
      <c r="I33">
        <f>I32*((1-$C$7)*'Unit economics'!$B$6+$C$7*'Unit economics'!$C$6)</f>
        <v/>
      </c>
      <c r="J33">
        <f>J32*((1-$C$7)*'Unit economics'!$B$6+$C$7*'Unit economics'!$C$6)</f>
        <v/>
      </c>
      <c r="K33">
        <f>K32*((1-$C$7)*'Unit economics'!$B$6+$C$7*'Unit economics'!$C$6)</f>
        <v/>
      </c>
      <c r="L33">
        <f>L32*((1-$C$7)*'Unit economics'!$B$6+$C$7*'Unit economics'!$C$6)</f>
        <v/>
      </c>
      <c r="M33">
        <f>M32*((1-$C$7)*'Unit economics'!$B$6+$C$7*'Unit economics'!$C$6)</f>
        <v/>
      </c>
    </row>
    <row r="34">
      <c r="A34" t="inlineStr">
        <is>
          <t>Paid compute and storage (USD)</t>
        </is>
      </c>
      <c r="B34">
        <f>B32*((1-$C$7)*('Unit economics'!$B$9+'Unit economics'!$B$10)+$C$7*('Unit economics'!$C$9+'Unit economics'!$C$10))</f>
        <v/>
      </c>
      <c r="C34">
        <f>C32*((1-$C$7)*('Unit economics'!$B$9+'Unit economics'!$B$10)+$C$7*('Unit economics'!$C$9+'Unit economics'!$C$10))</f>
        <v/>
      </c>
      <c r="D34">
        <f>D32*((1-$C$7)*('Unit economics'!$B$9+'Unit economics'!$B$10)+$C$7*('Unit economics'!$C$9+'Unit economics'!$C$10))</f>
        <v/>
      </c>
      <c r="E34">
        <f>E32*((1-$C$7)*('Unit economics'!$B$9+'Unit economics'!$B$10)+$C$7*('Unit economics'!$C$9+'Unit economics'!$C$10))</f>
        <v/>
      </c>
      <c r="F34">
        <f>F32*((1-$C$7)*('Unit economics'!$B$9+'Unit economics'!$B$10)+$C$7*('Unit economics'!$C$9+'Unit economics'!$C$10))</f>
        <v/>
      </c>
      <c r="G34">
        <f>G32*((1-$C$7)*('Unit economics'!$B$9+'Unit economics'!$B$10)+$C$7*('Unit economics'!$C$9+'Unit economics'!$C$10))</f>
        <v/>
      </c>
      <c r="H34">
        <f>H32*((1-$C$7)*('Unit economics'!$B$9+'Unit economics'!$B$10)+$C$7*('Unit economics'!$C$9+'Unit economics'!$C$10))</f>
        <v/>
      </c>
      <c r="I34">
        <f>I32*((1-$C$7)*('Unit economics'!$B$9+'Unit economics'!$B$10)+$C$7*('Unit economics'!$C$9+'Unit economics'!$C$10))</f>
        <v/>
      </c>
      <c r="J34">
        <f>J32*((1-$C$7)*('Unit economics'!$B$9+'Unit economics'!$B$10)+$C$7*('Unit economics'!$C$9+'Unit economics'!$C$10))</f>
        <v/>
      </c>
      <c r="K34">
        <f>K32*((1-$C$7)*('Unit economics'!$B$9+'Unit economics'!$B$10)+$C$7*('Unit economics'!$C$9+'Unit economics'!$C$10))</f>
        <v/>
      </c>
      <c r="L34">
        <f>L32*((1-$C$7)*('Unit economics'!$B$9+'Unit economics'!$B$10)+$C$7*('Unit economics'!$C$9+'Unit economics'!$C$10))</f>
        <v/>
      </c>
      <c r="M34">
        <f>M32*((1-$C$7)*('Unit economics'!$B$9+'Unit economics'!$B$10)+$C$7*('Unit economics'!$C$9+'Unit economics'!$C$10))</f>
        <v/>
      </c>
    </row>
    <row r="35">
      <c r="A35" t="inlineStr">
        <is>
          <t>Free-tier compute (USD)</t>
        </is>
      </c>
      <c r="B35">
        <f>B30*'Unit economics'!$B$14</f>
        <v/>
      </c>
      <c r="C35">
        <f>C30*'Unit economics'!$B$14</f>
        <v/>
      </c>
      <c r="D35">
        <f>D30*'Unit economics'!$B$14</f>
        <v/>
      </c>
      <c r="E35">
        <f>E30*'Unit economics'!$B$14</f>
        <v/>
      </c>
      <c r="F35">
        <f>F30*'Unit economics'!$B$14</f>
        <v/>
      </c>
      <c r="G35">
        <f>G30*'Unit economics'!$B$14</f>
        <v/>
      </c>
      <c r="H35">
        <f>H30*'Unit economics'!$B$14</f>
        <v/>
      </c>
      <c r="I35">
        <f>I30*'Unit economics'!$B$14</f>
        <v/>
      </c>
      <c r="J35">
        <f>J30*'Unit economics'!$B$14</f>
        <v/>
      </c>
      <c r="K35">
        <f>K30*'Unit economics'!$B$14</f>
        <v/>
      </c>
      <c r="L35">
        <f>L30*'Unit economics'!$B$14</f>
        <v/>
      </c>
      <c r="M35">
        <f>M30*'Unit economics'!$B$14</f>
        <v/>
      </c>
    </row>
    <row r="36">
      <c r="A36" t="inlineStr">
        <is>
          <t>Contribution after free-tier cost (USD)</t>
        </is>
      </c>
      <c r="B36">
        <f>B33-B34-B35</f>
        <v/>
      </c>
      <c r="C36">
        <f>C33-C34-C35</f>
        <v/>
      </c>
      <c r="D36">
        <f>D33-D34-D35</f>
        <v/>
      </c>
      <c r="E36">
        <f>E33-E34-E35</f>
        <v/>
      </c>
      <c r="F36">
        <f>F33-F34-F35</f>
        <v/>
      </c>
      <c r="G36">
        <f>G33-G34-G35</f>
        <v/>
      </c>
      <c r="H36">
        <f>H33-H34-H35</f>
        <v/>
      </c>
      <c r="I36">
        <f>I33-I34-I35</f>
        <v/>
      </c>
      <c r="J36">
        <f>J33-J34-J35</f>
        <v/>
      </c>
      <c r="K36">
        <f>K33-K34-K35</f>
        <v/>
      </c>
      <c r="L36">
        <f>L33-L34-L35</f>
        <v/>
      </c>
      <c r="M36">
        <f>M33-M34-M35</f>
        <v/>
      </c>
    </row>
    <row r="37">
      <c r="A37" t="inlineStr">
        <is>
          <t>Cumulative contribution (USD)</t>
        </is>
      </c>
      <c r="B37">
        <f>B36</f>
        <v/>
      </c>
      <c r="C37">
        <f>B37+C36</f>
        <v/>
      </c>
      <c r="D37">
        <f>C37+D36</f>
        <v/>
      </c>
      <c r="E37">
        <f>D37+E36</f>
        <v/>
      </c>
      <c r="F37">
        <f>E37+F36</f>
        <v/>
      </c>
      <c r="G37">
        <f>F37+G36</f>
        <v/>
      </c>
      <c r="H37">
        <f>G37+H36</f>
        <v/>
      </c>
      <c r="I37">
        <f>H37+I36</f>
        <v/>
      </c>
      <c r="J37">
        <f>I37+J36</f>
        <v/>
      </c>
      <c r="K37">
        <f>J37+K36</f>
        <v/>
      </c>
      <c r="L37">
        <f>K37+L36</f>
        <v/>
      </c>
      <c r="M37">
        <f>L37+M36</f>
        <v/>
      </c>
    </row>
    <row r="44">
      <c r="A44" s="3" t="inlineStr">
        <is>
          <t>High scenario (India price points)</t>
        </is>
      </c>
    </row>
    <row r="45">
      <c r="A45" s="1" t="inlineStr">
        <is>
          <t>Metric</t>
        </is>
      </c>
      <c r="B45" s="1" t="inlineStr">
        <is>
          <t>M1</t>
        </is>
      </c>
      <c r="C45" s="1" t="inlineStr">
        <is>
          <t>M2</t>
        </is>
      </c>
      <c r="D45" s="1" t="inlineStr">
        <is>
          <t>M3</t>
        </is>
      </c>
      <c r="E45" s="1" t="inlineStr">
        <is>
          <t>M4</t>
        </is>
      </c>
      <c r="F45" s="1" t="inlineStr">
        <is>
          <t>M5</t>
        </is>
      </c>
      <c r="G45" s="1" t="inlineStr">
        <is>
          <t>M6</t>
        </is>
      </c>
      <c r="H45" s="1" t="inlineStr">
        <is>
          <t>M7</t>
        </is>
      </c>
      <c r="I45" s="1" t="inlineStr">
        <is>
          <t>M8</t>
        </is>
      </c>
      <c r="J45" s="1" t="inlineStr">
        <is>
          <t>M9</t>
        </is>
      </c>
      <c r="K45" s="1" t="inlineStr">
        <is>
          <t>M10</t>
        </is>
      </c>
      <c r="L45" s="1" t="inlineStr">
        <is>
          <t>M11</t>
        </is>
      </c>
      <c r="M45" s="1" t="inlineStr">
        <is>
          <t>M12</t>
        </is>
      </c>
    </row>
    <row r="46">
      <c r="A46" t="inlineStr">
        <is>
          <t>New free sign-ups</t>
        </is>
      </c>
      <c r="B46">
        <f>$D$4*(1+$D$5)^0</f>
        <v/>
      </c>
      <c r="C46">
        <f>$D$4*(1+$D$5)^1</f>
        <v/>
      </c>
      <c r="D46">
        <f>$D$4*(1+$D$5)^2</f>
        <v/>
      </c>
      <c r="E46">
        <f>$D$4*(1+$D$5)^3</f>
        <v/>
      </c>
      <c r="F46">
        <f>$D$4*(1+$D$5)^4</f>
        <v/>
      </c>
      <c r="G46">
        <f>$D$4*(1+$D$5)^5</f>
        <v/>
      </c>
      <c r="H46">
        <f>$D$4*(1+$D$5)^6</f>
        <v/>
      </c>
      <c r="I46">
        <f>$D$4*(1+$D$5)^7</f>
        <v/>
      </c>
      <c r="J46">
        <f>$D$4*(1+$D$5)^8</f>
        <v/>
      </c>
      <c r="K46">
        <f>$D$4*(1+$D$5)^9</f>
        <v/>
      </c>
      <c r="L46">
        <f>$D$4*(1+$D$5)^10</f>
        <v/>
      </c>
      <c r="M46">
        <f>$D$4*(1+$D$5)^11</f>
        <v/>
      </c>
    </row>
    <row r="47">
      <c r="A47" t="inlineStr">
        <is>
          <t>Active free users</t>
        </is>
      </c>
      <c r="B47">
        <f>B46</f>
        <v/>
      </c>
      <c r="C47">
        <f>B47*(1-Inputs!$B$14)+C46</f>
        <v/>
      </c>
      <c r="D47">
        <f>C47*(1-Inputs!$B$14)+D46</f>
        <v/>
      </c>
      <c r="E47">
        <f>D47*(1-Inputs!$B$14)+E46</f>
        <v/>
      </c>
      <c r="F47">
        <f>E47*(1-Inputs!$B$14)+F46</f>
        <v/>
      </c>
      <c r="G47">
        <f>F47*(1-Inputs!$B$14)+G46</f>
        <v/>
      </c>
      <c r="H47">
        <f>G47*(1-Inputs!$B$14)+H46</f>
        <v/>
      </c>
      <c r="I47">
        <f>H47*(1-Inputs!$B$14)+I46</f>
        <v/>
      </c>
      <c r="J47">
        <f>I47*(1-Inputs!$B$14)+J46</f>
        <v/>
      </c>
      <c r="K47">
        <f>J47*(1-Inputs!$B$14)+K46</f>
        <v/>
      </c>
      <c r="L47">
        <f>K47*(1-Inputs!$B$14)+L46</f>
        <v/>
      </c>
      <c r="M47">
        <f>L47*(1-Inputs!$B$14)+M46</f>
        <v/>
      </c>
    </row>
    <row r="48">
      <c r="A48" t="inlineStr">
        <is>
          <t>New paid users</t>
        </is>
      </c>
      <c r="B48">
        <f>B47*$D$6</f>
        <v/>
      </c>
      <c r="C48">
        <f>C47*$D$6</f>
        <v/>
      </c>
      <c r="D48">
        <f>D47*$D$6</f>
        <v/>
      </c>
      <c r="E48">
        <f>E47*$D$6</f>
        <v/>
      </c>
      <c r="F48">
        <f>F47*$D$6</f>
        <v/>
      </c>
      <c r="G48">
        <f>G47*$D$6</f>
        <v/>
      </c>
      <c r="H48">
        <f>H47*$D$6</f>
        <v/>
      </c>
      <c r="I48">
        <f>I47*$D$6</f>
        <v/>
      </c>
      <c r="J48">
        <f>J47*$D$6</f>
        <v/>
      </c>
      <c r="K48">
        <f>K47*$D$6</f>
        <v/>
      </c>
      <c r="L48">
        <f>L47*$D$6</f>
        <v/>
      </c>
      <c r="M48">
        <f>M47*$D$6</f>
        <v/>
      </c>
    </row>
    <row r="49">
      <c r="A49" t="inlineStr">
        <is>
          <t>Active paid users</t>
        </is>
      </c>
      <c r="B49">
        <f>B48</f>
        <v/>
      </c>
      <c r="C49">
        <f>B49*(1-Inputs!$B$15)+C48</f>
        <v/>
      </c>
      <c r="D49">
        <f>C49*(1-Inputs!$B$15)+D48</f>
        <v/>
      </c>
      <c r="E49">
        <f>D49*(1-Inputs!$B$15)+E48</f>
        <v/>
      </c>
      <c r="F49">
        <f>E49*(1-Inputs!$B$15)+F48</f>
        <v/>
      </c>
      <c r="G49">
        <f>F49*(1-Inputs!$B$15)+G48</f>
        <v/>
      </c>
      <c r="H49">
        <f>G49*(1-Inputs!$B$15)+H48</f>
        <v/>
      </c>
      <c r="I49">
        <f>H49*(1-Inputs!$B$15)+I48</f>
        <v/>
      </c>
      <c r="J49">
        <f>I49*(1-Inputs!$B$15)+J48</f>
        <v/>
      </c>
      <c r="K49">
        <f>J49*(1-Inputs!$B$15)+K48</f>
        <v/>
      </c>
      <c r="L49">
        <f>K49*(1-Inputs!$B$15)+L48</f>
        <v/>
      </c>
      <c r="M49">
        <f>L49*(1-Inputs!$B$15)+M48</f>
        <v/>
      </c>
    </row>
    <row r="50">
      <c r="A50" t="inlineStr">
        <is>
          <t>Net revenue (USD)</t>
        </is>
      </c>
      <c r="B50">
        <f>B49*((1-$D$7)*'Unit economics'!$B$6+$D$7*'Unit economics'!$C$6)</f>
        <v/>
      </c>
      <c r="C50">
        <f>C49*((1-$D$7)*'Unit economics'!$B$6+$D$7*'Unit economics'!$C$6)</f>
        <v/>
      </c>
      <c r="D50">
        <f>D49*((1-$D$7)*'Unit economics'!$B$6+$D$7*'Unit economics'!$C$6)</f>
        <v/>
      </c>
      <c r="E50">
        <f>E49*((1-$D$7)*'Unit economics'!$B$6+$D$7*'Unit economics'!$C$6)</f>
        <v/>
      </c>
      <c r="F50">
        <f>F49*((1-$D$7)*'Unit economics'!$B$6+$D$7*'Unit economics'!$C$6)</f>
        <v/>
      </c>
      <c r="G50">
        <f>G49*((1-$D$7)*'Unit economics'!$B$6+$D$7*'Unit economics'!$C$6)</f>
        <v/>
      </c>
      <c r="H50">
        <f>H49*((1-$D$7)*'Unit economics'!$B$6+$D$7*'Unit economics'!$C$6)</f>
        <v/>
      </c>
      <c r="I50">
        <f>I49*((1-$D$7)*'Unit economics'!$B$6+$D$7*'Unit economics'!$C$6)</f>
        <v/>
      </c>
      <c r="J50">
        <f>J49*((1-$D$7)*'Unit economics'!$B$6+$D$7*'Unit economics'!$C$6)</f>
        <v/>
      </c>
      <c r="K50">
        <f>K49*((1-$D$7)*'Unit economics'!$B$6+$D$7*'Unit economics'!$C$6)</f>
        <v/>
      </c>
      <c r="L50">
        <f>L49*((1-$D$7)*'Unit economics'!$B$6+$D$7*'Unit economics'!$C$6)</f>
        <v/>
      </c>
      <c r="M50">
        <f>M49*((1-$D$7)*'Unit economics'!$B$6+$D$7*'Unit economics'!$C$6)</f>
        <v/>
      </c>
    </row>
    <row r="51">
      <c r="A51" t="inlineStr">
        <is>
          <t>Paid compute and storage (USD)</t>
        </is>
      </c>
      <c r="B51">
        <f>B49*((1-$D$7)*('Unit economics'!$B$9+'Unit economics'!$B$10)+$D$7*('Unit economics'!$C$9+'Unit economics'!$C$10))</f>
        <v/>
      </c>
      <c r="C51">
        <f>C49*((1-$D$7)*('Unit economics'!$B$9+'Unit economics'!$B$10)+$D$7*('Unit economics'!$C$9+'Unit economics'!$C$10))</f>
        <v/>
      </c>
      <c r="D51">
        <f>D49*((1-$D$7)*('Unit economics'!$B$9+'Unit economics'!$B$10)+$D$7*('Unit economics'!$C$9+'Unit economics'!$C$10))</f>
        <v/>
      </c>
      <c r="E51">
        <f>E49*((1-$D$7)*('Unit economics'!$B$9+'Unit economics'!$B$10)+$D$7*('Unit economics'!$C$9+'Unit economics'!$C$10))</f>
        <v/>
      </c>
      <c r="F51">
        <f>F49*((1-$D$7)*('Unit economics'!$B$9+'Unit economics'!$B$10)+$D$7*('Unit economics'!$C$9+'Unit economics'!$C$10))</f>
        <v/>
      </c>
      <c r="G51">
        <f>G49*((1-$D$7)*('Unit economics'!$B$9+'Unit economics'!$B$10)+$D$7*('Unit economics'!$C$9+'Unit economics'!$C$10))</f>
        <v/>
      </c>
      <c r="H51">
        <f>H49*((1-$D$7)*('Unit economics'!$B$9+'Unit economics'!$B$10)+$D$7*('Unit economics'!$C$9+'Unit economics'!$C$10))</f>
        <v/>
      </c>
      <c r="I51">
        <f>I49*((1-$D$7)*('Unit economics'!$B$9+'Unit economics'!$B$10)+$D$7*('Unit economics'!$C$9+'Unit economics'!$C$10))</f>
        <v/>
      </c>
      <c r="J51">
        <f>J49*((1-$D$7)*('Unit economics'!$B$9+'Unit economics'!$B$10)+$D$7*('Unit economics'!$C$9+'Unit economics'!$C$10))</f>
        <v/>
      </c>
      <c r="K51">
        <f>K49*((1-$D$7)*('Unit economics'!$B$9+'Unit economics'!$B$10)+$D$7*('Unit economics'!$C$9+'Unit economics'!$C$10))</f>
        <v/>
      </c>
      <c r="L51">
        <f>L49*((1-$D$7)*('Unit economics'!$B$9+'Unit economics'!$B$10)+$D$7*('Unit economics'!$C$9+'Unit economics'!$C$10))</f>
        <v/>
      </c>
      <c r="M51">
        <f>M49*((1-$D$7)*('Unit economics'!$B$9+'Unit economics'!$B$10)+$D$7*('Unit economics'!$C$9+'Unit economics'!$C$10))</f>
        <v/>
      </c>
    </row>
    <row r="52">
      <c r="A52" t="inlineStr">
        <is>
          <t>Free-tier compute (USD)</t>
        </is>
      </c>
      <c r="B52">
        <f>B47*'Unit economics'!$B$14</f>
        <v/>
      </c>
      <c r="C52">
        <f>C47*'Unit economics'!$B$14</f>
        <v/>
      </c>
      <c r="D52">
        <f>D47*'Unit economics'!$B$14</f>
        <v/>
      </c>
      <c r="E52">
        <f>E47*'Unit economics'!$B$14</f>
        <v/>
      </c>
      <c r="F52">
        <f>F47*'Unit economics'!$B$14</f>
        <v/>
      </c>
      <c r="G52">
        <f>G47*'Unit economics'!$B$14</f>
        <v/>
      </c>
      <c r="H52">
        <f>H47*'Unit economics'!$B$14</f>
        <v/>
      </c>
      <c r="I52">
        <f>I47*'Unit economics'!$B$14</f>
        <v/>
      </c>
      <c r="J52">
        <f>J47*'Unit economics'!$B$14</f>
        <v/>
      </c>
      <c r="K52">
        <f>K47*'Unit economics'!$B$14</f>
        <v/>
      </c>
      <c r="L52">
        <f>L47*'Unit economics'!$B$14</f>
        <v/>
      </c>
      <c r="M52">
        <f>M47*'Unit economics'!$B$14</f>
        <v/>
      </c>
    </row>
    <row r="53">
      <c r="A53" t="inlineStr">
        <is>
          <t>Contribution after free-tier cost (USD)</t>
        </is>
      </c>
      <c r="B53">
        <f>B50-B51-B52</f>
        <v/>
      </c>
      <c r="C53">
        <f>C50-C51-C52</f>
        <v/>
      </c>
      <c r="D53">
        <f>D50-D51-D52</f>
        <v/>
      </c>
      <c r="E53">
        <f>E50-E51-E52</f>
        <v/>
      </c>
      <c r="F53">
        <f>F50-F51-F52</f>
        <v/>
      </c>
      <c r="G53">
        <f>G50-G51-G52</f>
        <v/>
      </c>
      <c r="H53">
        <f>H50-H51-H52</f>
        <v/>
      </c>
      <c r="I53">
        <f>I50-I51-I52</f>
        <v/>
      </c>
      <c r="J53">
        <f>J50-J51-J52</f>
        <v/>
      </c>
      <c r="K53">
        <f>K50-K51-K52</f>
        <v/>
      </c>
      <c r="L53">
        <f>L50-L51-L52</f>
        <v/>
      </c>
      <c r="M53">
        <f>M50-M51-M52</f>
        <v/>
      </c>
    </row>
    <row r="54">
      <c r="A54" t="inlineStr">
        <is>
          <t>Cumulative contribution (USD)</t>
        </is>
      </c>
      <c r="B54">
        <f>B53</f>
        <v/>
      </c>
      <c r="C54">
        <f>B54+C53</f>
        <v/>
      </c>
      <c r="D54">
        <f>C54+D53</f>
        <v/>
      </c>
      <c r="E54">
        <f>D54+E53</f>
        <v/>
      </c>
      <c r="F54">
        <f>E54+F53</f>
        <v/>
      </c>
      <c r="G54">
        <f>F54+G53</f>
        <v/>
      </c>
      <c r="H54">
        <f>G54+H53</f>
        <v/>
      </c>
      <c r="I54">
        <f>H54+I53</f>
        <v/>
      </c>
      <c r="J54">
        <f>I54+J53</f>
        <v/>
      </c>
      <c r="K54">
        <f>J54+K53</f>
        <v/>
      </c>
      <c r="L54">
        <f>K54+L53</f>
        <v/>
      </c>
      <c r="M54">
        <f>L54+M53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60" customWidth="1" min="3" max="3"/>
    <col width="12" customWidth="1" min="4" max="4"/>
    <col width="40" customWidth="1" min="5" max="5"/>
  </cols>
  <sheetData>
    <row r="1">
      <c r="A1" t="inlineStr">
        <is>
          <t>Recommended allocation of money. Shares are recommendations [E]; amounts follow the founders' decision (Q-F02) and any future round. No round size is assumed.</t>
        </is>
      </c>
    </row>
    <row r="3">
      <c r="A3" s="1" t="inlineStr">
        <is>
          <t>Pre-funding monthly budget (DEC-023)</t>
        </is>
      </c>
      <c r="B3" s="1" t="inlineStr">
        <is>
          <t>₹5,000</t>
        </is>
      </c>
      <c r="C3" s="1" t="inlineStr">
        <is>
          <t>₹10,000</t>
        </is>
      </c>
      <c r="D3" s="1" t="inlineStr"/>
      <c r="E3" s="1" t="inlineStr">
        <is>
          <t>Notes</t>
        </is>
      </c>
    </row>
    <row r="4">
      <c r="A4" t="inlineStr">
        <is>
          <t>GPU compute for beta (rented, scale to zero)</t>
        </is>
      </c>
      <c r="B4" t="n">
        <v>0.6</v>
      </c>
      <c r="C4" t="n">
        <v>0.6</v>
      </c>
      <c r="E4" t="inlineStr">
        <is>
          <t>Largest variable cost; credits first</t>
        </is>
      </c>
    </row>
    <row r="5">
      <c r="A5" t="inlineStr">
        <is>
          <t>Domain, email, tools beyond free tiers</t>
        </is>
      </c>
      <c r="B5" t="n">
        <v>0.1</v>
      </c>
      <c r="C5" t="n">
        <v>0.1</v>
      </c>
      <c r="E5" t="inlineStr"/>
    </row>
    <row r="6">
      <c r="A6" t="inlineStr">
        <is>
          <t>Listening-test honoraria and interview incentives</t>
        </is>
      </c>
      <c r="B6" t="n">
        <v>0.1</v>
      </c>
      <c r="C6" t="n">
        <v>0.15</v>
      </c>
      <c r="E6" t="inlineStr">
        <is>
          <t>Evidence for investors</t>
        </is>
      </c>
    </row>
    <row r="7">
      <c r="A7" t="inlineStr">
        <is>
          <t>Company compliance (accountant, filings)</t>
        </is>
      </c>
      <c r="B7" t="n">
        <v>0.2</v>
      </c>
      <c r="C7" t="n">
        <v>0.15</v>
      </c>
      <c r="E7" t="inlineStr">
        <is>
          <t>Needs quotes</t>
        </is>
      </c>
    </row>
    <row r="8">
      <c r="A8" t="inlineStr">
        <is>
          <t>Counsel review of terms</t>
        </is>
      </c>
      <c r="B8" t="n">
        <v>0</v>
      </c>
      <c r="C8" t="n">
        <v>0</v>
      </c>
      <c r="E8" t="inlineStr">
        <is>
          <t>Pay one-off from savings before paid launch</t>
        </is>
      </c>
    </row>
    <row r="9">
      <c r="A9" s="3" t="inlineStr">
        <is>
          <t>Total share</t>
        </is>
      </c>
      <c r="B9">
        <f>SUM(B4:B8)</f>
        <v/>
      </c>
      <c r="C9">
        <f>SUM(C4:C8)</f>
        <v/>
      </c>
    </row>
    <row r="11">
      <c r="A11" s="1" t="inlineStr">
        <is>
          <t>Use of funds after a seed round (share)</t>
        </is>
      </c>
      <c r="B11" s="1" t="inlineStr">
        <is>
          <t>Share</t>
        </is>
      </c>
      <c r="C11" s="1" t="inlineStr">
        <is>
          <t>What it buys</t>
        </is>
      </c>
      <c r="D11" s="1" t="inlineStr"/>
      <c r="E11" s="1" t="inlineStr"/>
    </row>
    <row r="12">
      <c r="A12" t="inlineStr">
        <is>
          <t>Product and engineering (hires, contractors)</t>
        </is>
      </c>
      <c r="B12" t="n">
        <v>0.4</v>
      </c>
      <c r="C12" t="inlineStr">
        <is>
          <t>Audio-ML engineer, second backend engineer, designer</t>
        </is>
      </c>
    </row>
    <row r="13">
      <c r="A13" t="inlineStr">
        <is>
          <t>Compute (GPU inference, evaluation)</t>
        </is>
      </c>
      <c r="B13" t="n">
        <v>0.2</v>
      </c>
      <c r="C13" t="inlineStr">
        <is>
          <t>Lower latency, higher free caps, paid-cloud migration</t>
        </is>
      </c>
    </row>
    <row r="14">
      <c r="A14" t="inlineStr">
        <is>
          <t>Licensed data and rights</t>
        </is>
      </c>
      <c r="B14" t="n">
        <v>0.15</v>
      </c>
      <c r="C14" t="inlineStr">
        <is>
          <t>Regional catalogue and commissioned sessions to retire RISK-001</t>
        </is>
      </c>
    </row>
    <row r="15">
      <c r="A15" t="inlineStr">
        <is>
          <t>Go-to-market</t>
        </is>
      </c>
      <c r="B15" t="n">
        <v>0.15</v>
      </c>
      <c r="C15" t="inlineStr">
        <is>
          <t>Creator partnerships, content, paid tests in India</t>
        </is>
      </c>
    </row>
    <row r="16">
      <c r="A16" t="inlineStr">
        <is>
          <t>Legal, compliance, finance and contingency</t>
        </is>
      </c>
      <c r="B16" t="n">
        <v>0.1</v>
      </c>
      <c r="C16" t="inlineStr">
        <is>
          <t>Counsel, audits, insurance, buffer</t>
        </is>
      </c>
    </row>
    <row r="17">
      <c r="A17" s="3" t="inlineStr">
        <is>
          <t>Total share</t>
        </is>
      </c>
      <c r="B17">
        <f>SUM(B12:B16)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2026-10-29T07:25:50Z</dcterms:created>
  <dcterms:modified xmlns:dcterms="http://purl.org/dc/terms/" xmlns:xsi="http://www.w3.org/2001/XMLSchema-instance" xsi:type="dcterms:W3CDTF">2026-10-29T07:25:50Z</dcterms:modified>
</cp:coreProperties>
</file>